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Gant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<sst xmlns="http://schemas.openxmlformats.org/spreadsheetml/2006/main" count="229" uniqueCount="108">
  <si>
    <t xml:space="preserve">NST Interview Prep Portal — 75-Day Delivery Plan (5 people)</t>
  </si>
  <si>
    <t xml:space="preserve">Project start (Day 1)</t>
  </si>
  <si>
    <t xml:space="preserve">Launch (Day 75)</t>
  </si>
  <si>
    <t xml:space="preserve">Team</t>
  </si>
  <si>
    <t xml:space="preserve">PL · UX · FE · BE · QA</t>
  </si>
  <si>
    <t xml:space="preserve">Phase / Task</t>
  </si>
  <si>
    <t xml:space="preserve">Owner</t>
  </si>
  <si>
    <t xml:space="preserve">Role</t>
  </si>
  <si>
    <t xml:space="preserve">Start day</t>
  </si>
  <si>
    <t xml:space="preserve">End day</t>
  </si>
  <si>
    <t xml:space="preserve">Duration (days)</t>
  </si>
  <si>
    <t xml:space="preserve">Start date</t>
  </si>
  <si>
    <t xml:space="preserve">End date</t>
  </si>
  <si>
    <t xml:space="preserve">Dependency / notes</t>
  </si>
  <si>
    <t xml:space="preserve">1 · Requirement gathering &amp; docs</t>
  </si>
  <si>
    <t xml:space="preserve">Stakeholder workshops</t>
  </si>
  <si>
    <t xml:space="preserve">PL</t>
  </si>
  <si>
    <t xml:space="preserve">Project Lead</t>
  </si>
  <si>
    <t xml:space="preserve">Kickoff &amp; elicitation</t>
  </si>
  <si>
    <t xml:space="preserve">SRS / requirement spec doc</t>
  </si>
  <si>
    <t xml:space="preserve">Signed-off requirements</t>
  </si>
  <si>
    <t xml:space="preserve">Personas &amp; journey maps</t>
  </si>
  <si>
    <t xml:space="preserve">UX</t>
  </si>
  <si>
    <t xml:space="preserve">UI/UX Designer</t>
  </si>
  <si>
    <t xml:space="preserve">All 3 portals</t>
  </si>
  <si>
    <t xml:space="preserve">Architecture &amp; data model</t>
  </si>
  <si>
    <t xml:space="preserve">BE</t>
  </si>
  <si>
    <t xml:space="preserve">Backend / Data</t>
  </si>
  <si>
    <t xml:space="preserve">Locks schema — unlocks scraping track</t>
  </si>
  <si>
    <t xml:space="preserve">2 · UI/UX design &amp; sign-offs</t>
  </si>
  <si>
    <t xml:space="preserve">Student Portal wireframes</t>
  </si>
  <si>
    <t xml:space="preserve">Faculty Portal wireframes</t>
  </si>
  <si>
    <t xml:space="preserve">Admin Portal wireframes</t>
  </si>
  <si>
    <t xml:space="preserve">Hi-fi mockups &amp; design system</t>
  </si>
  <si>
    <t xml:space="preserve">Faculty sign-off</t>
  </si>
  <si>
    <t xml:space="preserve">GATE — faculty design review</t>
  </si>
  <si>
    <t xml:space="preserve">Product team sign-off</t>
  </si>
  <si>
    <t xml:space="preserve">GATE — unlocks development</t>
  </si>
  <si>
    <t xml:space="preserve">3 · Portal development (dummy data)</t>
  </si>
  <si>
    <t xml:space="preserve">Student backend (dummy data)</t>
  </si>
  <si>
    <t xml:space="preserve">After product sign-off</t>
  </si>
  <si>
    <t xml:space="preserve">Student frontend build</t>
  </si>
  <si>
    <t xml:space="preserve">FE</t>
  </si>
  <si>
    <t xml:space="preserve">Frontend</t>
  </si>
  <si>
    <t xml:space="preserve">Needs student APIs</t>
  </si>
  <si>
    <t xml:space="preserve">Student integration &amp; review</t>
  </si>
  <si>
    <t xml:space="preserve">Faculty backend APIs</t>
  </si>
  <si>
    <t xml:space="preserve">Faculty frontend build</t>
  </si>
  <si>
    <t xml:space="preserve">Faculty integration &amp; review</t>
  </si>
  <si>
    <t xml:space="preserve">Admin backend APIs</t>
  </si>
  <si>
    <t xml:space="preserve">Admin frontend build</t>
  </si>
  <si>
    <t xml:space="preserve">Admin integration &amp; review</t>
  </si>
  <si>
    <t xml:space="preserve">All 3 portals built on dummy data</t>
  </si>
  <si>
    <t xml:space="preserve">4 · Data scraping &amp; pipeline (parallel)</t>
  </si>
  <si>
    <t xml:space="preserve">Source discovery &amp; ToS review</t>
  </si>
  <si>
    <t xml:space="preserve">Starts once data model is locked</t>
  </si>
  <si>
    <t xml:space="preserve">Build scrapers (priority set)</t>
  </si>
  <si>
    <t xml:space="preserve">CAPACITY RISK — BE also on backends</t>
  </si>
  <si>
    <t xml:space="preserve">Scraper infra &amp; orchestration</t>
  </si>
  <si>
    <t xml:space="preserve">CAPACITY RISK — FE also on frontends</t>
  </si>
  <si>
    <t xml:space="preserve">Raw extraction &amp; JSON dumps</t>
  </si>
  <si>
    <t xml:space="preserve">35+ sources → raw JSON</t>
  </si>
  <si>
    <t xml:space="preserve">Data cleaning &amp; normalization</t>
  </si>
  <si>
    <t xml:space="preserve">QA</t>
  </si>
  <si>
    <t xml:space="preserve">QA / Testing</t>
  </si>
  <si>
    <t xml:space="preserve">Dedup, encoding, company names</t>
  </si>
  <si>
    <t xml:space="preserve">Claude API classification</t>
  </si>
  <si>
    <t xml:space="preserve">Tag topic / difficulty / round</t>
  </si>
  <si>
    <t xml:space="preserve">Syllabus mapping &amp; gap dataset</t>
  </si>
  <si>
    <t xml:space="preserve">Feeds faculty gap analysis</t>
  </si>
  <si>
    <t xml:space="preserve">5 · Integration, testing &amp; launch</t>
  </si>
  <si>
    <t xml:space="preserve">Real data integration</t>
  </si>
  <si>
    <t xml:space="preserve">Replace dummy data in all portals</t>
  </si>
  <si>
    <t xml:space="preserve">System &amp; end-to-end testing</t>
  </si>
  <si>
    <t xml:space="preserve">Performance &amp; load testing</t>
  </si>
  <si>
    <t xml:space="preserve">Security testing &amp; UAT</t>
  </si>
  <si>
    <t xml:space="preserve">Bug fixes &amp; regression</t>
  </si>
  <si>
    <t xml:space="preserve">Final launch &amp; go-live</t>
  </si>
  <si>
    <t xml:space="preserve">ALL</t>
  </si>
  <si>
    <t xml:space="preserve">Whole team</t>
  </si>
  <si>
    <t xml:space="preserve">MILESTONE — launch day</t>
  </si>
  <si>
    <t xml:space="preserve">NST Interview Prep Portal — Visual Timeline (Day 1 = 11 Jun 2026)</t>
  </si>
  <si>
    <t xml:space="preserve">11 Jun</t>
  </si>
  <si>
    <t xml:space="preserve">15 Jun</t>
  </si>
  <si>
    <t xml:space="preserve">20 Jun</t>
  </si>
  <si>
    <t xml:space="preserve">25 Jun</t>
  </si>
  <si>
    <t xml:space="preserve">30 Jun</t>
  </si>
  <si>
    <t xml:space="preserve">5 Jul</t>
  </si>
  <si>
    <t xml:space="preserve">10 Jul</t>
  </si>
  <si>
    <t xml:space="preserve">15 Jul</t>
  </si>
  <si>
    <t xml:space="preserve">20 Jul</t>
  </si>
  <si>
    <t xml:space="preserve">25 Jul</t>
  </si>
  <si>
    <t xml:space="preserve">30 Jul</t>
  </si>
  <si>
    <t xml:space="preserve">4 Aug</t>
  </si>
  <si>
    <t xml:space="preserve">9 Aug</t>
  </si>
  <si>
    <t xml:space="preserve">14 Aug</t>
  </si>
  <si>
    <t xml:space="preserve">19 Aug</t>
  </si>
  <si>
    <t xml:space="preserve">24 Aug</t>
  </si>
  <si>
    <t xml:space="preserve">Task</t>
  </si>
  <si>
    <t xml:space="preserve">Own</t>
  </si>
  <si>
    <t xml:space="preserve">◆</t>
  </si>
  <si>
    <t xml:space="preserve">Legend</t>
  </si>
  <si>
    <t xml:space="preserve">PL — Project Lead</t>
  </si>
  <si>
    <t xml:space="preserve">UX — UI/UX Designer</t>
  </si>
  <si>
    <t xml:space="preserve">FE — Frontend</t>
  </si>
  <si>
    <t xml:space="preserve">BE — Backend / Data</t>
  </si>
  <si>
    <t xml:space="preserve">QA — QA / Testing</t>
  </si>
  <si>
    <t xml:space="preserve">ALL — Whole team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</si>
</sst>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437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74374"/>
      <name val="Arial"/>
      <family val="0"/>
      <charset val="1"/>
    </font>
    <font>
      <b val="true"/>
      <sz val="13"/>
      <color rgb="FF174374"/>
      <name val="Arial"/>
      <family val="0"/>
      <charset val="1"/>
    </font>
    <font>
      <sz val="7"/>
      <color rgb="FF5F5E5A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9"/>
      <color rgb="FF174374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4374"/>
        <bgColor rgb="FF333399"/>
      </patternFill>
    </fill>
    <fill>
      <patternFill patternType="solid">
        <fgColor rgb="FFE7EAF2"/>
        <bgColor rgb="FFFFFFFF"/>
      </patternFill>
    </fill>
    <fill>
      <patternFill patternType="solid">
        <fgColor rgb="FF7F77DD"/>
        <bgColor rgb="FF888780"/>
      </patternFill>
    </fill>
    <fill>
      <patternFill patternType="solid">
        <fgColor rgb="FFD4537E"/>
        <bgColor rgb="FFD85A30"/>
      </patternFill>
    </fill>
    <fill>
      <patternFill patternType="solid">
        <fgColor rgb="FF378ADD"/>
        <bgColor rgb="FF1D9E75"/>
      </patternFill>
    </fill>
    <fill>
      <patternFill patternType="solid">
        <fgColor rgb="FFD85A30"/>
        <bgColor rgb="FFD4537E"/>
      </patternFill>
    </fill>
    <fill>
      <patternFill patternType="solid">
        <fgColor rgb="FF1D9E75"/>
        <bgColor rgb="FF008080"/>
      </patternFill>
    </fill>
    <fill>
      <patternFill patternType="solid">
        <fgColor rgb="FF8887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780"/>
      <rgbColor rgb="FF7F77DD"/>
      <rgbColor rgb="FFD4537E"/>
      <rgbColor rgb="FFFFFFCC"/>
      <rgbColor rgb="FFE7EA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78ADD"/>
      <rgbColor rgb="FF33CCCC"/>
      <rgbColor rgb="FF99CC00"/>
      <rgbColor rgb="FFFFCC00"/>
      <rgbColor rgb="FFFF9900"/>
      <rgbColor rgb="FFD85A30"/>
      <rgbColor rgb="FF5F5E5A"/>
      <rgbColor rgb="FF969696"/>
      <rgbColor rgb="FF174374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8" min="6" style="0" width="14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3" t="n">
        <v>46184</v>
      </c>
    </row>
    <row r="3" customFormat="false" ht="15" hidden="false" customHeight="false" outlineLevel="0" collapsed="false">
      <c r="A3" s="2" t="s">
        <v>2</v>
      </c>
      <c r="B3" s="3" t="n">
        <f aca="false">B2+74</f>
        <v>46258</v>
      </c>
    </row>
    <row r="4" customFormat="false" ht="15" hidden="false" customHeight="false" outlineLevel="0" collapsed="false">
      <c r="A4" s="2" t="s">
        <v>3</v>
      </c>
      <c r="B4" s="4" t="s">
        <v>4</v>
      </c>
      <c r="C4" s="4"/>
      <c r="D4" s="4"/>
    </row>
    <row r="6" customFormat="false" ht="15" hidden="false" customHeight="false" outlineLevel="0" collapsed="false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</row>
    <row r="7" customFormat="false" ht="15" hidden="false" customHeight="true" outlineLevel="0" collapsed="false">
      <c r="A7" s="7" t="s">
        <v>14</v>
      </c>
      <c r="B7" s="7"/>
      <c r="C7" s="7"/>
      <c r="D7" s="7"/>
      <c r="E7" s="7"/>
      <c r="F7" s="7"/>
      <c r="G7" s="7"/>
      <c r="H7" s="7"/>
      <c r="I7" s="7"/>
    </row>
    <row r="8" customFormat="false" ht="15" hidden="false" customHeight="false" outlineLevel="0" collapsed="false">
      <c r="A8" s="8" t="s">
        <v>15</v>
      </c>
      <c r="B8" s="9" t="s">
        <v>16</v>
      </c>
      <c r="C8" s="8" t="s">
        <v>17</v>
      </c>
      <c r="D8" s="10" t="n">
        <v>1</v>
      </c>
      <c r="E8" s="10" t="n">
        <v>6</v>
      </c>
      <c r="F8" s="10" t="n">
        <f aca="false">E8-D8+1</f>
        <v>6</v>
      </c>
      <c r="G8" s="11" t="n">
        <f aca="false">$B$2+D8-1</f>
        <v>46184</v>
      </c>
      <c r="H8" s="11" t="n">
        <f aca="false">$B$2+E8-1</f>
        <v>46189</v>
      </c>
      <c r="I8" s="8" t="s">
        <v>18</v>
      </c>
    </row>
    <row r="9" customFormat="false" ht="15" hidden="false" customHeight="false" outlineLevel="0" collapsed="false">
      <c r="A9" s="8" t="s">
        <v>19</v>
      </c>
      <c r="B9" s="9" t="s">
        <v>16</v>
      </c>
      <c r="C9" s="8" t="s">
        <v>17</v>
      </c>
      <c r="D9" s="10" t="n">
        <v>4</v>
      </c>
      <c r="E9" s="10" t="n">
        <v>10</v>
      </c>
      <c r="F9" s="10" t="n">
        <f aca="false">E9-D9+1</f>
        <v>7</v>
      </c>
      <c r="G9" s="11" t="n">
        <f aca="false">$B$2+D9-1</f>
        <v>46187</v>
      </c>
      <c r="H9" s="11" t="n">
        <f aca="false">$B$2+E9-1</f>
        <v>46193</v>
      </c>
      <c r="I9" s="8" t="s">
        <v>20</v>
      </c>
    </row>
    <row r="10" customFormat="false" ht="15" hidden="false" customHeight="false" outlineLevel="0" collapsed="false">
      <c r="A10" s="8" t="s">
        <v>21</v>
      </c>
      <c r="B10" s="12" t="s">
        <v>22</v>
      </c>
      <c r="C10" s="8" t="s">
        <v>23</v>
      </c>
      <c r="D10" s="10" t="n">
        <v>5</v>
      </c>
      <c r="E10" s="10" t="n">
        <v>10</v>
      </c>
      <c r="F10" s="10" t="n">
        <f aca="false">E10-D10+1</f>
        <v>6</v>
      </c>
      <c r="G10" s="11" t="n">
        <f aca="false">$B$2+D10-1</f>
        <v>46188</v>
      </c>
      <c r="H10" s="11" t="n">
        <f aca="false">$B$2+E10-1</f>
        <v>46193</v>
      </c>
      <c r="I10" s="8" t="s">
        <v>24</v>
      </c>
    </row>
    <row r="11" customFormat="false" ht="15" hidden="false" customHeight="false" outlineLevel="0" collapsed="false">
      <c r="A11" s="8" t="s">
        <v>25</v>
      </c>
      <c r="B11" s="13" t="s">
        <v>26</v>
      </c>
      <c r="C11" s="8" t="s">
        <v>27</v>
      </c>
      <c r="D11" s="10" t="n">
        <v>6</v>
      </c>
      <c r="E11" s="10" t="n">
        <v>10</v>
      </c>
      <c r="F11" s="10" t="n">
        <f aca="false">E11-D11+1</f>
        <v>5</v>
      </c>
      <c r="G11" s="11" t="n">
        <f aca="false">$B$2+D11-1</f>
        <v>46189</v>
      </c>
      <c r="H11" s="11" t="n">
        <f aca="false">$B$2+E11-1</f>
        <v>46193</v>
      </c>
      <c r="I11" s="8" t="s">
        <v>28</v>
      </c>
    </row>
    <row r="12" customFormat="false" ht="15" hidden="false" customHeight="true" outlineLevel="0" collapsed="false">
      <c r="A12" s="7" t="s">
        <v>29</v>
      </c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8" t="s">
        <v>30</v>
      </c>
      <c r="B13" s="12" t="s">
        <v>22</v>
      </c>
      <c r="C13" s="8" t="s">
        <v>23</v>
      </c>
      <c r="D13" s="10" t="n">
        <v>11</v>
      </c>
      <c r="E13" s="10" t="n">
        <v>15</v>
      </c>
      <c r="F13" s="10" t="n">
        <f aca="false">E13-D13+1</f>
        <v>5</v>
      </c>
      <c r="G13" s="11" t="n">
        <f aca="false">$B$2+D13-1</f>
        <v>46194</v>
      </c>
      <c r="H13" s="11" t="n">
        <f aca="false">$B$2+E13-1</f>
        <v>46198</v>
      </c>
      <c r="I13" s="8"/>
    </row>
    <row r="14" customFormat="false" ht="15" hidden="false" customHeight="false" outlineLevel="0" collapsed="false">
      <c r="A14" s="8" t="s">
        <v>31</v>
      </c>
      <c r="B14" s="12" t="s">
        <v>22</v>
      </c>
      <c r="C14" s="8" t="s">
        <v>23</v>
      </c>
      <c r="D14" s="10" t="n">
        <v>14</v>
      </c>
      <c r="E14" s="10" t="n">
        <v>18</v>
      </c>
      <c r="F14" s="10" t="n">
        <f aca="false">E14-D14+1</f>
        <v>5</v>
      </c>
      <c r="G14" s="11" t="n">
        <f aca="false">$B$2+D14-1</f>
        <v>46197</v>
      </c>
      <c r="H14" s="11" t="n">
        <f aca="false">$B$2+E14-1</f>
        <v>46201</v>
      </c>
      <c r="I14" s="8"/>
    </row>
    <row r="15" customFormat="false" ht="15" hidden="false" customHeight="false" outlineLevel="0" collapsed="false">
      <c r="A15" s="8" t="s">
        <v>32</v>
      </c>
      <c r="B15" s="12" t="s">
        <v>22</v>
      </c>
      <c r="C15" s="8" t="s">
        <v>23</v>
      </c>
      <c r="D15" s="10" t="n">
        <v>17</v>
      </c>
      <c r="E15" s="10" t="n">
        <v>21</v>
      </c>
      <c r="F15" s="10" t="n">
        <f aca="false">E15-D15+1</f>
        <v>5</v>
      </c>
      <c r="G15" s="11" t="n">
        <f aca="false">$B$2+D15-1</f>
        <v>46200</v>
      </c>
      <c r="H15" s="11" t="n">
        <f aca="false">$B$2+E15-1</f>
        <v>46204</v>
      </c>
      <c r="I15" s="8"/>
    </row>
    <row r="16" customFormat="false" ht="15" hidden="false" customHeight="false" outlineLevel="0" collapsed="false">
      <c r="A16" s="8" t="s">
        <v>33</v>
      </c>
      <c r="B16" s="12" t="s">
        <v>22</v>
      </c>
      <c r="C16" s="8" t="s">
        <v>23</v>
      </c>
      <c r="D16" s="10" t="n">
        <v>15</v>
      </c>
      <c r="E16" s="10" t="n">
        <v>22</v>
      </c>
      <c r="F16" s="10" t="n">
        <f aca="false">E16-D16+1</f>
        <v>8</v>
      </c>
      <c r="G16" s="11" t="n">
        <f aca="false">$B$2+D16-1</f>
        <v>46198</v>
      </c>
      <c r="H16" s="11" t="n">
        <f aca="false">$B$2+E16-1</f>
        <v>46205</v>
      </c>
      <c r="I16" s="8"/>
    </row>
    <row r="17" customFormat="false" ht="15" hidden="false" customHeight="false" outlineLevel="0" collapsed="false">
      <c r="A17" s="8" t="s">
        <v>34</v>
      </c>
      <c r="B17" s="9" t="s">
        <v>16</v>
      </c>
      <c r="C17" s="8" t="s">
        <v>17</v>
      </c>
      <c r="D17" s="10" t="n">
        <v>21</v>
      </c>
      <c r="E17" s="10" t="n">
        <v>22</v>
      </c>
      <c r="F17" s="10" t="n">
        <f aca="false">E17-D17+1</f>
        <v>2</v>
      </c>
      <c r="G17" s="11" t="n">
        <f aca="false">$B$2+D17-1</f>
        <v>46204</v>
      </c>
      <c r="H17" s="11" t="n">
        <f aca="false">$B$2+E17-1</f>
        <v>46205</v>
      </c>
      <c r="I17" s="8" t="s">
        <v>35</v>
      </c>
    </row>
    <row r="18" customFormat="false" ht="15" hidden="false" customHeight="false" outlineLevel="0" collapsed="false">
      <c r="A18" s="8" t="s">
        <v>36</v>
      </c>
      <c r="B18" s="9" t="s">
        <v>16</v>
      </c>
      <c r="C18" s="8" t="s">
        <v>17</v>
      </c>
      <c r="D18" s="10" t="n">
        <v>23</v>
      </c>
      <c r="E18" s="10" t="n">
        <v>24</v>
      </c>
      <c r="F18" s="10" t="n">
        <f aca="false">E18-D18+1</f>
        <v>2</v>
      </c>
      <c r="G18" s="11" t="n">
        <f aca="false">$B$2+D18-1</f>
        <v>46206</v>
      </c>
      <c r="H18" s="11" t="n">
        <f aca="false">$B$2+E18-1</f>
        <v>46207</v>
      </c>
      <c r="I18" s="8" t="s">
        <v>37</v>
      </c>
    </row>
    <row r="19" customFormat="false" ht="15" hidden="false" customHeight="true" outlineLevel="0" collapsed="false">
      <c r="A19" s="7" t="s">
        <v>38</v>
      </c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8" t="s">
        <v>39</v>
      </c>
      <c r="B20" s="13" t="s">
        <v>26</v>
      </c>
      <c r="C20" s="8" t="s">
        <v>27</v>
      </c>
      <c r="D20" s="10" t="n">
        <v>25</v>
      </c>
      <c r="E20" s="10" t="n">
        <v>32</v>
      </c>
      <c r="F20" s="10" t="n">
        <f aca="false">E20-D20+1</f>
        <v>8</v>
      </c>
      <c r="G20" s="11" t="n">
        <f aca="false">$B$2+D20-1</f>
        <v>46208</v>
      </c>
      <c r="H20" s="11" t="n">
        <f aca="false">$B$2+E20-1</f>
        <v>46215</v>
      </c>
      <c r="I20" s="8" t="s">
        <v>40</v>
      </c>
    </row>
    <row r="21" customFormat="false" ht="15" hidden="false" customHeight="false" outlineLevel="0" collapsed="false">
      <c r="A21" s="8" t="s">
        <v>41</v>
      </c>
      <c r="B21" s="14" t="s">
        <v>42</v>
      </c>
      <c r="C21" s="8" t="s">
        <v>43</v>
      </c>
      <c r="D21" s="10" t="n">
        <v>27</v>
      </c>
      <c r="E21" s="10" t="n">
        <v>36</v>
      </c>
      <c r="F21" s="10" t="n">
        <f aca="false">E21-D21+1</f>
        <v>10</v>
      </c>
      <c r="G21" s="11" t="n">
        <f aca="false">$B$2+D21-1</f>
        <v>46210</v>
      </c>
      <c r="H21" s="11" t="n">
        <f aca="false">$B$2+E21-1</f>
        <v>46219</v>
      </c>
      <c r="I21" s="8" t="s">
        <v>44</v>
      </c>
    </row>
    <row r="22" customFormat="false" ht="15" hidden="false" customHeight="false" outlineLevel="0" collapsed="false">
      <c r="A22" s="8" t="s">
        <v>45</v>
      </c>
      <c r="B22" s="14" t="s">
        <v>42</v>
      </c>
      <c r="C22" s="8" t="s">
        <v>43</v>
      </c>
      <c r="D22" s="10" t="n">
        <v>35</v>
      </c>
      <c r="E22" s="10" t="n">
        <v>38</v>
      </c>
      <c r="F22" s="10" t="n">
        <f aca="false">E22-D22+1</f>
        <v>4</v>
      </c>
      <c r="G22" s="11" t="n">
        <f aca="false">$B$2+D22-1</f>
        <v>46218</v>
      </c>
      <c r="H22" s="11" t="n">
        <f aca="false">$B$2+E22-1</f>
        <v>46221</v>
      </c>
      <c r="I22" s="8"/>
    </row>
    <row r="23" customFormat="false" ht="15" hidden="false" customHeight="false" outlineLevel="0" collapsed="false">
      <c r="A23" s="8" t="s">
        <v>46</v>
      </c>
      <c r="B23" s="13" t="s">
        <v>26</v>
      </c>
      <c r="C23" s="8" t="s">
        <v>27</v>
      </c>
      <c r="D23" s="10" t="n">
        <v>37</v>
      </c>
      <c r="E23" s="10" t="n">
        <v>43</v>
      </c>
      <c r="F23" s="10" t="n">
        <f aca="false">E23-D23+1</f>
        <v>7</v>
      </c>
      <c r="G23" s="11" t="n">
        <f aca="false">$B$2+D23-1</f>
        <v>46220</v>
      </c>
      <c r="H23" s="11" t="n">
        <f aca="false">$B$2+E23-1</f>
        <v>46226</v>
      </c>
      <c r="I23" s="8"/>
    </row>
    <row r="24" customFormat="false" ht="15" hidden="false" customHeight="false" outlineLevel="0" collapsed="false">
      <c r="A24" s="8" t="s">
        <v>47</v>
      </c>
      <c r="B24" s="14" t="s">
        <v>42</v>
      </c>
      <c r="C24" s="8" t="s">
        <v>43</v>
      </c>
      <c r="D24" s="10" t="n">
        <v>38</v>
      </c>
      <c r="E24" s="10" t="n">
        <v>46</v>
      </c>
      <c r="F24" s="10" t="n">
        <f aca="false">E24-D24+1</f>
        <v>9</v>
      </c>
      <c r="G24" s="11" t="n">
        <f aca="false">$B$2+D24-1</f>
        <v>46221</v>
      </c>
      <c r="H24" s="11" t="n">
        <f aca="false">$B$2+E24-1</f>
        <v>46229</v>
      </c>
      <c r="I24" s="8"/>
    </row>
    <row r="25" customFormat="false" ht="15" hidden="false" customHeight="false" outlineLevel="0" collapsed="false">
      <c r="A25" s="8" t="s">
        <v>48</v>
      </c>
      <c r="B25" s="14" t="s">
        <v>42</v>
      </c>
      <c r="C25" s="8" t="s">
        <v>43</v>
      </c>
      <c r="D25" s="10" t="n">
        <v>45</v>
      </c>
      <c r="E25" s="10" t="n">
        <v>48</v>
      </c>
      <c r="F25" s="10" t="n">
        <f aca="false">E25-D25+1</f>
        <v>4</v>
      </c>
      <c r="G25" s="11" t="n">
        <f aca="false">$B$2+D25-1</f>
        <v>46228</v>
      </c>
      <c r="H25" s="11" t="n">
        <f aca="false">$B$2+E25-1</f>
        <v>46231</v>
      </c>
      <c r="I25" s="8"/>
    </row>
    <row r="26" customFormat="false" ht="15" hidden="false" customHeight="false" outlineLevel="0" collapsed="false">
      <c r="A26" s="8" t="s">
        <v>49</v>
      </c>
      <c r="B26" s="13" t="s">
        <v>26</v>
      </c>
      <c r="C26" s="8" t="s">
        <v>27</v>
      </c>
      <c r="D26" s="10" t="n">
        <v>44</v>
      </c>
      <c r="E26" s="10" t="n">
        <v>50</v>
      </c>
      <c r="F26" s="10" t="n">
        <f aca="false">E26-D26+1</f>
        <v>7</v>
      </c>
      <c r="G26" s="11" t="n">
        <f aca="false">$B$2+D26-1</f>
        <v>46227</v>
      </c>
      <c r="H26" s="11" t="n">
        <f aca="false">$B$2+E26-1</f>
        <v>46233</v>
      </c>
      <c r="I26" s="8"/>
    </row>
    <row r="27" customFormat="false" ht="15" hidden="false" customHeight="false" outlineLevel="0" collapsed="false">
      <c r="A27" s="8" t="s">
        <v>50</v>
      </c>
      <c r="B27" s="14" t="s">
        <v>42</v>
      </c>
      <c r="C27" s="8" t="s">
        <v>43</v>
      </c>
      <c r="D27" s="10" t="n">
        <v>48</v>
      </c>
      <c r="E27" s="10" t="n">
        <v>54</v>
      </c>
      <c r="F27" s="10" t="n">
        <f aca="false">E27-D27+1</f>
        <v>7</v>
      </c>
      <c r="G27" s="11" t="n">
        <f aca="false">$B$2+D27-1</f>
        <v>46231</v>
      </c>
      <c r="H27" s="11" t="n">
        <f aca="false">$B$2+E27-1</f>
        <v>46237</v>
      </c>
      <c r="I27" s="8"/>
    </row>
    <row r="28" customFormat="false" ht="15" hidden="false" customHeight="false" outlineLevel="0" collapsed="false">
      <c r="A28" s="8" t="s">
        <v>51</v>
      </c>
      <c r="B28" s="14" t="s">
        <v>42</v>
      </c>
      <c r="C28" s="8" t="s">
        <v>43</v>
      </c>
      <c r="D28" s="10" t="n">
        <v>53</v>
      </c>
      <c r="E28" s="10" t="n">
        <v>58</v>
      </c>
      <c r="F28" s="10" t="n">
        <f aca="false">E28-D28+1</f>
        <v>6</v>
      </c>
      <c r="G28" s="11" t="n">
        <f aca="false">$B$2+D28-1</f>
        <v>46236</v>
      </c>
      <c r="H28" s="11" t="n">
        <f aca="false">$B$2+E28-1</f>
        <v>46241</v>
      </c>
      <c r="I28" s="8" t="s">
        <v>52</v>
      </c>
    </row>
    <row r="29" customFormat="false" ht="15" hidden="false" customHeight="true" outlineLevel="0" collapsed="false">
      <c r="A29" s="7" t="s">
        <v>53</v>
      </c>
      <c r="B29" s="7"/>
      <c r="C29" s="7"/>
      <c r="D29" s="7"/>
      <c r="E29" s="7"/>
      <c r="F29" s="7"/>
      <c r="G29" s="7"/>
      <c r="H29" s="7"/>
      <c r="I29" s="7"/>
    </row>
    <row r="30" customFormat="false" ht="15" hidden="false" customHeight="false" outlineLevel="0" collapsed="false">
      <c r="A30" s="8" t="s">
        <v>54</v>
      </c>
      <c r="B30" s="9" t="s">
        <v>16</v>
      </c>
      <c r="C30" s="8" t="s">
        <v>17</v>
      </c>
      <c r="D30" s="10" t="n">
        <v>13</v>
      </c>
      <c r="E30" s="10" t="n">
        <v>20</v>
      </c>
      <c r="F30" s="10" t="n">
        <f aca="false">E30-D30+1</f>
        <v>8</v>
      </c>
      <c r="G30" s="11" t="n">
        <f aca="false">$B$2+D30-1</f>
        <v>46196</v>
      </c>
      <c r="H30" s="11" t="n">
        <f aca="false">$B$2+E30-1</f>
        <v>46203</v>
      </c>
      <c r="I30" s="8" t="s">
        <v>55</v>
      </c>
    </row>
    <row r="31" customFormat="false" ht="23.85" hidden="false" customHeight="false" outlineLevel="0" collapsed="false">
      <c r="A31" s="8" t="s">
        <v>56</v>
      </c>
      <c r="B31" s="13" t="s">
        <v>26</v>
      </c>
      <c r="C31" s="8" t="s">
        <v>27</v>
      </c>
      <c r="D31" s="10" t="n">
        <v>20</v>
      </c>
      <c r="E31" s="10" t="n">
        <v>40</v>
      </c>
      <c r="F31" s="10" t="n">
        <f aca="false">E31-D31+1</f>
        <v>21</v>
      </c>
      <c r="G31" s="11" t="n">
        <f aca="false">$B$2+D31-1</f>
        <v>46203</v>
      </c>
      <c r="H31" s="11" t="n">
        <f aca="false">$B$2+E31-1</f>
        <v>46223</v>
      </c>
      <c r="I31" s="8" t="s">
        <v>57</v>
      </c>
    </row>
    <row r="32" customFormat="false" ht="15" hidden="false" customHeight="false" outlineLevel="0" collapsed="false">
      <c r="A32" s="8" t="s">
        <v>58</v>
      </c>
      <c r="B32" s="14" t="s">
        <v>42</v>
      </c>
      <c r="C32" s="8" t="s">
        <v>43</v>
      </c>
      <c r="D32" s="10" t="n">
        <v>24</v>
      </c>
      <c r="E32" s="10" t="n">
        <v>38</v>
      </c>
      <c r="F32" s="10" t="n">
        <f aca="false">E32-D32+1</f>
        <v>15</v>
      </c>
      <c r="G32" s="11" t="n">
        <f aca="false">$B$2+D32-1</f>
        <v>46207</v>
      </c>
      <c r="H32" s="11" t="n">
        <f aca="false">$B$2+E32-1</f>
        <v>46221</v>
      </c>
      <c r="I32" s="8" t="s">
        <v>59</v>
      </c>
    </row>
    <row r="33" customFormat="false" ht="15" hidden="false" customHeight="false" outlineLevel="0" collapsed="false">
      <c r="A33" s="8" t="s">
        <v>60</v>
      </c>
      <c r="B33" s="13" t="s">
        <v>26</v>
      </c>
      <c r="C33" s="8" t="s">
        <v>27</v>
      </c>
      <c r="D33" s="10" t="n">
        <v>38</v>
      </c>
      <c r="E33" s="10" t="n">
        <v>48</v>
      </c>
      <c r="F33" s="10" t="n">
        <f aca="false">E33-D33+1</f>
        <v>11</v>
      </c>
      <c r="G33" s="11" t="n">
        <f aca="false">$B$2+D33-1</f>
        <v>46221</v>
      </c>
      <c r="H33" s="11" t="n">
        <f aca="false">$B$2+E33-1</f>
        <v>46231</v>
      </c>
      <c r="I33" s="8" t="s">
        <v>61</v>
      </c>
    </row>
    <row r="34" customFormat="false" ht="15" hidden="false" customHeight="false" outlineLevel="0" collapsed="false">
      <c r="A34" s="8" t="s">
        <v>62</v>
      </c>
      <c r="B34" s="15" t="s">
        <v>63</v>
      </c>
      <c r="C34" s="8" t="s">
        <v>64</v>
      </c>
      <c r="D34" s="10" t="n">
        <v>42</v>
      </c>
      <c r="E34" s="10" t="n">
        <v>52</v>
      </c>
      <c r="F34" s="10" t="n">
        <f aca="false">E34-D34+1</f>
        <v>11</v>
      </c>
      <c r="G34" s="11" t="n">
        <f aca="false">$B$2+D34-1</f>
        <v>46225</v>
      </c>
      <c r="H34" s="11" t="n">
        <f aca="false">$B$2+E34-1</f>
        <v>46235</v>
      </c>
      <c r="I34" s="8" t="s">
        <v>65</v>
      </c>
    </row>
    <row r="35" customFormat="false" ht="15" hidden="false" customHeight="false" outlineLevel="0" collapsed="false">
      <c r="A35" s="8" t="s">
        <v>66</v>
      </c>
      <c r="B35" s="13" t="s">
        <v>26</v>
      </c>
      <c r="C35" s="8" t="s">
        <v>27</v>
      </c>
      <c r="D35" s="10" t="n">
        <v>48</v>
      </c>
      <c r="E35" s="10" t="n">
        <v>58</v>
      </c>
      <c r="F35" s="10" t="n">
        <f aca="false">E35-D35+1</f>
        <v>11</v>
      </c>
      <c r="G35" s="11" t="n">
        <f aca="false">$B$2+D35-1</f>
        <v>46231</v>
      </c>
      <c r="H35" s="11" t="n">
        <f aca="false">$B$2+E35-1</f>
        <v>46241</v>
      </c>
      <c r="I35" s="8" t="s">
        <v>67</v>
      </c>
    </row>
    <row r="36" customFormat="false" ht="15" hidden="false" customHeight="false" outlineLevel="0" collapsed="false">
      <c r="A36" s="8" t="s">
        <v>68</v>
      </c>
      <c r="B36" s="9" t="s">
        <v>16</v>
      </c>
      <c r="C36" s="8" t="s">
        <v>17</v>
      </c>
      <c r="D36" s="10" t="n">
        <v>52</v>
      </c>
      <c r="E36" s="10" t="n">
        <v>60</v>
      </c>
      <c r="F36" s="10" t="n">
        <f aca="false">E36-D36+1</f>
        <v>9</v>
      </c>
      <c r="G36" s="11" t="n">
        <f aca="false">$B$2+D36-1</f>
        <v>46235</v>
      </c>
      <c r="H36" s="11" t="n">
        <f aca="false">$B$2+E36-1</f>
        <v>46243</v>
      </c>
      <c r="I36" s="8" t="s">
        <v>69</v>
      </c>
    </row>
    <row r="37" customFormat="false" ht="15" hidden="false" customHeight="true" outlineLevel="0" collapsed="false">
      <c r="A37" s="7" t="s">
        <v>70</v>
      </c>
      <c r="B37" s="7"/>
      <c r="C37" s="7"/>
      <c r="D37" s="7"/>
      <c r="E37" s="7"/>
      <c r="F37" s="7"/>
      <c r="G37" s="7"/>
      <c r="H37" s="7"/>
      <c r="I37" s="7"/>
    </row>
    <row r="38" customFormat="false" ht="15" hidden="false" customHeight="false" outlineLevel="0" collapsed="false">
      <c r="A38" s="8" t="s">
        <v>71</v>
      </c>
      <c r="B38" s="14" t="s">
        <v>42</v>
      </c>
      <c r="C38" s="8" t="s">
        <v>43</v>
      </c>
      <c r="D38" s="10" t="n">
        <v>58</v>
      </c>
      <c r="E38" s="10" t="n">
        <v>64</v>
      </c>
      <c r="F38" s="10" t="n">
        <f aca="false">E38-D38+1</f>
        <v>7</v>
      </c>
      <c r="G38" s="11" t="n">
        <f aca="false">$B$2+D38-1</f>
        <v>46241</v>
      </c>
      <c r="H38" s="11" t="n">
        <f aca="false">$B$2+E38-1</f>
        <v>46247</v>
      </c>
      <c r="I38" s="8" t="s">
        <v>72</v>
      </c>
    </row>
    <row r="39" customFormat="false" ht="15" hidden="false" customHeight="false" outlineLevel="0" collapsed="false">
      <c r="A39" s="8" t="s">
        <v>73</v>
      </c>
      <c r="B39" s="15" t="s">
        <v>63</v>
      </c>
      <c r="C39" s="8" t="s">
        <v>64</v>
      </c>
      <c r="D39" s="10" t="n">
        <v>60</v>
      </c>
      <c r="E39" s="10" t="n">
        <v>67</v>
      </c>
      <c r="F39" s="10" t="n">
        <f aca="false">E39-D39+1</f>
        <v>8</v>
      </c>
      <c r="G39" s="11" t="n">
        <f aca="false">$B$2+D39-1</f>
        <v>46243</v>
      </c>
      <c r="H39" s="11" t="n">
        <f aca="false">$B$2+E39-1</f>
        <v>46250</v>
      </c>
      <c r="I39" s="8"/>
    </row>
    <row r="40" customFormat="false" ht="15" hidden="false" customHeight="false" outlineLevel="0" collapsed="false">
      <c r="A40" s="8" t="s">
        <v>74</v>
      </c>
      <c r="B40" s="15" t="s">
        <v>63</v>
      </c>
      <c r="C40" s="8" t="s">
        <v>64</v>
      </c>
      <c r="D40" s="10" t="n">
        <v>66</v>
      </c>
      <c r="E40" s="10" t="n">
        <v>70</v>
      </c>
      <c r="F40" s="10" t="n">
        <f aca="false">E40-D40+1</f>
        <v>5</v>
      </c>
      <c r="G40" s="11" t="n">
        <f aca="false">$B$2+D40-1</f>
        <v>46249</v>
      </c>
      <c r="H40" s="11" t="n">
        <f aca="false">$B$2+E40-1</f>
        <v>46253</v>
      </c>
      <c r="I40" s="8"/>
    </row>
    <row r="41" customFormat="false" ht="15" hidden="false" customHeight="false" outlineLevel="0" collapsed="false">
      <c r="A41" s="8" t="s">
        <v>75</v>
      </c>
      <c r="B41" s="15" t="s">
        <v>63</v>
      </c>
      <c r="C41" s="8" t="s">
        <v>64</v>
      </c>
      <c r="D41" s="10" t="n">
        <v>69</v>
      </c>
      <c r="E41" s="10" t="n">
        <v>73</v>
      </c>
      <c r="F41" s="10" t="n">
        <f aca="false">E41-D41+1</f>
        <v>5</v>
      </c>
      <c r="G41" s="11" t="n">
        <f aca="false">$B$2+D41-1</f>
        <v>46252</v>
      </c>
      <c r="H41" s="11" t="n">
        <f aca="false">$B$2+E41-1</f>
        <v>46256</v>
      </c>
      <c r="I41" s="8"/>
    </row>
    <row r="42" customFormat="false" ht="15" hidden="false" customHeight="false" outlineLevel="0" collapsed="false">
      <c r="A42" s="8" t="s">
        <v>76</v>
      </c>
      <c r="B42" s="13" t="s">
        <v>26</v>
      </c>
      <c r="C42" s="8" t="s">
        <v>27</v>
      </c>
      <c r="D42" s="10" t="n">
        <v>62</v>
      </c>
      <c r="E42" s="10" t="n">
        <v>74</v>
      </c>
      <c r="F42" s="10" t="n">
        <f aca="false">E42-D42+1</f>
        <v>13</v>
      </c>
      <c r="G42" s="11" t="n">
        <f aca="false">$B$2+D42-1</f>
        <v>46245</v>
      </c>
      <c r="H42" s="11" t="n">
        <f aca="false">$B$2+E42-1</f>
        <v>46257</v>
      </c>
      <c r="I42" s="8"/>
    </row>
    <row r="43" customFormat="false" ht="15" hidden="false" customHeight="false" outlineLevel="0" collapsed="false">
      <c r="A43" s="8" t="s">
        <v>77</v>
      </c>
      <c r="B43" s="16" t="s">
        <v>78</v>
      </c>
      <c r="C43" s="8" t="s">
        <v>79</v>
      </c>
      <c r="D43" s="10" t="n">
        <v>75</v>
      </c>
      <c r="E43" s="10" t="n">
        <v>75</v>
      </c>
      <c r="F43" s="10" t="n">
        <f aca="false">E43-D43+1</f>
        <v>1</v>
      </c>
      <c r="G43" s="11" t="n">
        <f aca="false">$B$2+D43-1</f>
        <v>46258</v>
      </c>
      <c r="H43" s="11" t="n">
        <f aca="false">$B$2+E43-1</f>
        <v>46258</v>
      </c>
      <c r="I43" s="8" t="s">
        <v>80</v>
      </c>
    </row>
  </sheetData>
  <mergeCells count="7">
    <mergeCell ref="A1:I1"/>
    <mergeCell ref="B4:D4"/>
    <mergeCell ref="A7:I7"/>
    <mergeCell ref="A12:I12"/>
    <mergeCell ref="A19:I19"/>
    <mergeCell ref="A29:I29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"/>
    <col collapsed="false" customWidth="true" hidden="false" outlineLevel="0" max="77" min="3" style="0" width="2.6"/>
  </cols>
  <sheetData>
    <row r="1" customFormat="false" ht="16.15" hidden="false" customHeight="false" outlineLevel="0" collapsed="false">
      <c r="A1" s="17" t="s">
        <v>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</row>
    <row r="2" customFormat="false" ht="15" hidden="false" customHeight="false" outlineLevel="0" collapsed="false">
      <c r="C2" s="18" t="s">
        <v>82</v>
      </c>
      <c r="G2" s="18" t="s">
        <v>83</v>
      </c>
      <c r="L2" s="18" t="s">
        <v>84</v>
      </c>
      <c r="Q2" s="18" t="s">
        <v>85</v>
      </c>
      <c r="V2" s="18" t="s">
        <v>86</v>
      </c>
      <c r="AA2" s="18" t="s">
        <v>87</v>
      </c>
      <c r="AF2" s="18" t="s">
        <v>88</v>
      </c>
      <c r="AK2" s="18" t="s">
        <v>89</v>
      </c>
      <c r="AP2" s="18" t="s">
        <v>90</v>
      </c>
      <c r="AU2" s="18" t="s">
        <v>91</v>
      </c>
      <c r="AZ2" s="18" t="s">
        <v>92</v>
      </c>
      <c r="BE2" s="18" t="s">
        <v>93</v>
      </c>
      <c r="BJ2" s="18" t="s">
        <v>94</v>
      </c>
      <c r="BO2" s="18" t="s">
        <v>95</v>
      </c>
      <c r="BT2" s="18" t="s">
        <v>96</v>
      </c>
      <c r="BY2" s="18" t="s">
        <v>97</v>
      </c>
    </row>
    <row r="3" customFormat="false" ht="15" hidden="false" customHeight="false" outlineLevel="0" collapsed="false">
      <c r="A3" s="19" t="s">
        <v>98</v>
      </c>
      <c r="B3" s="20" t="s">
        <v>99</v>
      </c>
      <c r="C3" s="21" t="n">
        <v>1</v>
      </c>
      <c r="D3" s="21" t="n">
        <v>2</v>
      </c>
      <c r="E3" s="21" t="n">
        <v>3</v>
      </c>
      <c r="F3" s="21" t="n">
        <v>4</v>
      </c>
      <c r="G3" s="21" t="n">
        <v>5</v>
      </c>
      <c r="H3" s="21" t="n">
        <v>6</v>
      </c>
      <c r="I3" s="21" t="n">
        <v>7</v>
      </c>
      <c r="J3" s="21" t="n">
        <v>8</v>
      </c>
      <c r="K3" s="21" t="n">
        <v>9</v>
      </c>
      <c r="L3" s="21" t="n">
        <v>10</v>
      </c>
      <c r="M3" s="21" t="n">
        <v>11</v>
      </c>
      <c r="N3" s="21" t="n">
        <v>12</v>
      </c>
      <c r="O3" s="21" t="n">
        <v>13</v>
      </c>
      <c r="P3" s="21" t="n">
        <v>14</v>
      </c>
      <c r="Q3" s="21" t="n">
        <v>15</v>
      </c>
      <c r="R3" s="21" t="n">
        <v>16</v>
      </c>
      <c r="S3" s="21" t="n">
        <v>17</v>
      </c>
      <c r="T3" s="21" t="n">
        <v>18</v>
      </c>
      <c r="U3" s="21" t="n">
        <v>19</v>
      </c>
      <c r="V3" s="21" t="n">
        <v>20</v>
      </c>
      <c r="W3" s="21" t="n">
        <v>21</v>
      </c>
      <c r="X3" s="21" t="n">
        <v>22</v>
      </c>
      <c r="Y3" s="21" t="n">
        <v>23</v>
      </c>
      <c r="Z3" s="21" t="n">
        <v>24</v>
      </c>
      <c r="AA3" s="21" t="n">
        <v>25</v>
      </c>
      <c r="AB3" s="21" t="n">
        <v>26</v>
      </c>
      <c r="AC3" s="21" t="n">
        <v>27</v>
      </c>
      <c r="AD3" s="21" t="n">
        <v>28</v>
      </c>
      <c r="AE3" s="21" t="n">
        <v>29</v>
      </c>
      <c r="AF3" s="21" t="n">
        <v>30</v>
      </c>
      <c r="AG3" s="21" t="n">
        <v>31</v>
      </c>
      <c r="AH3" s="21" t="n">
        <v>32</v>
      </c>
      <c r="AI3" s="21" t="n">
        <v>33</v>
      </c>
      <c r="AJ3" s="21" t="n">
        <v>34</v>
      </c>
      <c r="AK3" s="21" t="n">
        <v>35</v>
      </c>
      <c r="AL3" s="21" t="n">
        <v>36</v>
      </c>
      <c r="AM3" s="21" t="n">
        <v>37</v>
      </c>
      <c r="AN3" s="21" t="n">
        <v>38</v>
      </c>
      <c r="AO3" s="21" t="n">
        <v>39</v>
      </c>
      <c r="AP3" s="21" t="n">
        <v>40</v>
      </c>
      <c r="AQ3" s="21" t="n">
        <v>41</v>
      </c>
      <c r="AR3" s="21" t="n">
        <v>42</v>
      </c>
      <c r="AS3" s="21" t="n">
        <v>43</v>
      </c>
      <c r="AT3" s="21" t="n">
        <v>44</v>
      </c>
      <c r="AU3" s="21" t="n">
        <v>45</v>
      </c>
      <c r="AV3" s="21" t="n">
        <v>46</v>
      </c>
      <c r="AW3" s="21" t="n">
        <v>47</v>
      </c>
      <c r="AX3" s="21" t="n">
        <v>48</v>
      </c>
      <c r="AY3" s="21" t="n">
        <v>49</v>
      </c>
      <c r="AZ3" s="21" t="n">
        <v>50</v>
      </c>
      <c r="BA3" s="21" t="n">
        <v>51</v>
      </c>
      <c r="BB3" s="21" t="n">
        <v>52</v>
      </c>
      <c r="BC3" s="21" t="n">
        <v>53</v>
      </c>
      <c r="BD3" s="21" t="n">
        <v>54</v>
      </c>
      <c r="BE3" s="21" t="n">
        <v>55</v>
      </c>
      <c r="BF3" s="21" t="n">
        <v>56</v>
      </c>
      <c r="BG3" s="21" t="n">
        <v>57</v>
      </c>
      <c r="BH3" s="21" t="n">
        <v>58</v>
      </c>
      <c r="BI3" s="21" t="n">
        <v>59</v>
      </c>
      <c r="BJ3" s="21" t="n">
        <v>60</v>
      </c>
      <c r="BK3" s="21" t="n">
        <v>61</v>
      </c>
      <c r="BL3" s="21" t="n">
        <v>62</v>
      </c>
      <c r="BM3" s="21" t="n">
        <v>63</v>
      </c>
      <c r="BN3" s="21" t="n">
        <v>64</v>
      </c>
      <c r="BO3" s="21" t="n">
        <v>65</v>
      </c>
      <c r="BP3" s="21" t="n">
        <v>66</v>
      </c>
      <c r="BQ3" s="21" t="n">
        <v>67</v>
      </c>
      <c r="BR3" s="21" t="n">
        <v>68</v>
      </c>
      <c r="BS3" s="21" t="n">
        <v>69</v>
      </c>
      <c r="BT3" s="21" t="n">
        <v>70</v>
      </c>
      <c r="BU3" s="21" t="n">
        <v>71</v>
      </c>
      <c r="BV3" s="21" t="n">
        <v>72</v>
      </c>
      <c r="BW3" s="21" t="n">
        <v>73</v>
      </c>
      <c r="BX3" s="21" t="n">
        <v>74</v>
      </c>
      <c r="BY3" s="21" t="n">
        <v>75</v>
      </c>
    </row>
    <row r="4" customFormat="false" ht="15" hidden="false" customHeight="false" outlineLevel="0" collapsed="false">
      <c r="A4" s="22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</row>
    <row r="5" customFormat="false" ht="15" hidden="false" customHeight="false" outlineLevel="0" collapsed="false">
      <c r="A5" s="23" t="s">
        <v>15</v>
      </c>
      <c r="B5" s="24" t="s">
        <v>16</v>
      </c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A6" s="23" t="s">
        <v>19</v>
      </c>
      <c r="B6" s="24" t="s">
        <v>16</v>
      </c>
      <c r="F6" s="25"/>
      <c r="G6" s="25"/>
      <c r="H6" s="25"/>
      <c r="I6" s="25"/>
      <c r="J6" s="25"/>
      <c r="K6" s="25"/>
      <c r="L6" s="25"/>
    </row>
    <row r="7" customFormat="false" ht="15" hidden="false" customHeight="false" outlineLevel="0" collapsed="false">
      <c r="A7" s="23" t="s">
        <v>21</v>
      </c>
      <c r="B7" s="26" t="s">
        <v>22</v>
      </c>
      <c r="G7" s="27"/>
      <c r="H7" s="27"/>
      <c r="I7" s="27"/>
      <c r="J7" s="27"/>
      <c r="K7" s="27"/>
      <c r="L7" s="27"/>
    </row>
    <row r="8" customFormat="false" ht="15" hidden="false" customHeight="false" outlineLevel="0" collapsed="false">
      <c r="A8" s="23" t="s">
        <v>25</v>
      </c>
      <c r="B8" s="28" t="s">
        <v>26</v>
      </c>
      <c r="H8" s="29"/>
      <c r="I8" s="29"/>
      <c r="J8" s="29"/>
      <c r="K8" s="29"/>
      <c r="L8" s="29"/>
    </row>
    <row r="9" customFormat="false" ht="15" hidden="false" customHeight="false" outlineLevel="0" collapsed="false">
      <c r="A9" s="22" t="s">
        <v>29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</row>
    <row r="10" customFormat="false" ht="15" hidden="false" customHeight="false" outlineLevel="0" collapsed="false">
      <c r="A10" s="23" t="s">
        <v>30</v>
      </c>
      <c r="B10" s="26" t="s">
        <v>22</v>
      </c>
      <c r="M10" s="27"/>
      <c r="N10" s="27"/>
      <c r="O10" s="27"/>
      <c r="P10" s="27"/>
      <c r="Q10" s="27"/>
    </row>
    <row r="11" customFormat="false" ht="15" hidden="false" customHeight="false" outlineLevel="0" collapsed="false">
      <c r="A11" s="23" t="s">
        <v>31</v>
      </c>
      <c r="B11" s="26" t="s">
        <v>22</v>
      </c>
      <c r="P11" s="27"/>
      <c r="Q11" s="27"/>
      <c r="R11" s="27"/>
      <c r="S11" s="27"/>
      <c r="T11" s="27"/>
    </row>
    <row r="12" customFormat="false" ht="15" hidden="false" customHeight="false" outlineLevel="0" collapsed="false">
      <c r="A12" s="23" t="s">
        <v>32</v>
      </c>
      <c r="B12" s="26" t="s">
        <v>22</v>
      </c>
      <c r="S12" s="27"/>
      <c r="T12" s="27"/>
      <c r="U12" s="27"/>
      <c r="V12" s="27"/>
      <c r="W12" s="27"/>
    </row>
    <row r="13" customFormat="false" ht="15" hidden="false" customHeight="false" outlineLevel="0" collapsed="false">
      <c r="A13" s="23" t="s">
        <v>33</v>
      </c>
      <c r="B13" s="26" t="s">
        <v>22</v>
      </c>
      <c r="Q13" s="27"/>
      <c r="R13" s="27"/>
      <c r="S13" s="27"/>
      <c r="T13" s="27"/>
      <c r="U13" s="27"/>
      <c r="V13" s="27"/>
      <c r="W13" s="27"/>
      <c r="X13" s="27"/>
    </row>
    <row r="14" customFormat="false" ht="15" hidden="false" customHeight="false" outlineLevel="0" collapsed="false">
      <c r="A14" s="23" t="s">
        <v>34</v>
      </c>
      <c r="B14" s="24" t="s">
        <v>16</v>
      </c>
      <c r="W14" s="25"/>
      <c r="X14" s="25"/>
    </row>
    <row r="15" customFormat="false" ht="15" hidden="false" customHeight="false" outlineLevel="0" collapsed="false">
      <c r="A15" s="23" t="s">
        <v>36</v>
      </c>
      <c r="B15" s="24" t="s">
        <v>16</v>
      </c>
      <c r="Y15" s="25"/>
      <c r="Z15" s="25"/>
    </row>
    <row r="16" customFormat="false" ht="15" hidden="false" customHeight="false" outlineLevel="0" collapsed="false">
      <c r="A16" s="22" t="s">
        <v>38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</row>
    <row r="17" customFormat="false" ht="15" hidden="false" customHeight="false" outlineLevel="0" collapsed="false">
      <c r="A17" s="23" t="s">
        <v>39</v>
      </c>
      <c r="B17" s="28" t="s">
        <v>26</v>
      </c>
      <c r="AA17" s="29"/>
      <c r="AB17" s="29"/>
      <c r="AC17" s="29"/>
      <c r="AD17" s="29"/>
      <c r="AE17" s="29"/>
      <c r="AF17" s="29"/>
      <c r="AG17" s="29"/>
      <c r="AH17" s="29"/>
    </row>
    <row r="18" customFormat="false" ht="15" hidden="false" customHeight="false" outlineLevel="0" collapsed="false">
      <c r="A18" s="23" t="s">
        <v>41</v>
      </c>
      <c r="B18" s="30" t="s">
        <v>42</v>
      </c>
      <c r="AC18" s="31"/>
      <c r="AD18" s="31"/>
      <c r="AE18" s="31"/>
      <c r="AF18" s="31"/>
      <c r="AG18" s="31"/>
      <c r="AH18" s="31"/>
      <c r="AI18" s="31"/>
      <c r="AJ18" s="31"/>
      <c r="AK18" s="31"/>
      <c r="AL18" s="31"/>
    </row>
    <row r="19" customFormat="false" ht="15" hidden="false" customHeight="false" outlineLevel="0" collapsed="false">
      <c r="A19" s="23" t="s">
        <v>45</v>
      </c>
      <c r="B19" s="30" t="s">
        <v>42</v>
      </c>
      <c r="AK19" s="31"/>
      <c r="AL19" s="31"/>
      <c r="AM19" s="31"/>
      <c r="AN19" s="31"/>
    </row>
    <row r="20" customFormat="false" ht="15" hidden="false" customHeight="false" outlineLevel="0" collapsed="false">
      <c r="A20" s="23" t="s">
        <v>46</v>
      </c>
      <c r="B20" s="28" t="s">
        <v>26</v>
      </c>
      <c r="AM20" s="29"/>
      <c r="AN20" s="29"/>
      <c r="AO20" s="29"/>
      <c r="AP20" s="29"/>
      <c r="AQ20" s="29"/>
      <c r="AR20" s="29"/>
      <c r="AS20" s="29"/>
    </row>
    <row r="21" customFormat="false" ht="15" hidden="false" customHeight="false" outlineLevel="0" collapsed="false">
      <c r="A21" s="23" t="s">
        <v>47</v>
      </c>
      <c r="B21" s="30" t="s">
        <v>42</v>
      </c>
      <c r="AN21" s="31"/>
      <c r="AO21" s="31"/>
      <c r="AP21" s="31"/>
      <c r="AQ21" s="31"/>
      <c r="AR21" s="31"/>
      <c r="AS21" s="31"/>
      <c r="AT21" s="31"/>
      <c r="AU21" s="31"/>
      <c r="AV21" s="31"/>
    </row>
    <row r="22" customFormat="false" ht="15" hidden="false" customHeight="false" outlineLevel="0" collapsed="false">
      <c r="A22" s="23" t="s">
        <v>48</v>
      </c>
      <c r="B22" s="30" t="s">
        <v>42</v>
      </c>
      <c r="AU22" s="31"/>
      <c r="AV22" s="31"/>
      <c r="AW22" s="31"/>
      <c r="AX22" s="31"/>
    </row>
    <row r="23" customFormat="false" ht="15" hidden="false" customHeight="false" outlineLevel="0" collapsed="false">
      <c r="A23" s="23" t="s">
        <v>49</v>
      </c>
      <c r="B23" s="28" t="s">
        <v>26</v>
      </c>
      <c r="AT23" s="29"/>
      <c r="AU23" s="29"/>
      <c r="AV23" s="29"/>
      <c r="AW23" s="29"/>
      <c r="AX23" s="29"/>
      <c r="AY23" s="29"/>
      <c r="AZ23" s="29"/>
    </row>
    <row r="24" customFormat="false" ht="15" hidden="false" customHeight="false" outlineLevel="0" collapsed="false">
      <c r="A24" s="23" t="s">
        <v>50</v>
      </c>
      <c r="B24" s="30" t="s">
        <v>42</v>
      </c>
      <c r="AX24" s="31"/>
      <c r="AY24" s="31"/>
      <c r="AZ24" s="31"/>
      <c r="BA24" s="31"/>
      <c r="BB24" s="31"/>
      <c r="BC24" s="31"/>
      <c r="BD24" s="31"/>
    </row>
    <row r="25" customFormat="false" ht="15" hidden="false" customHeight="false" outlineLevel="0" collapsed="false">
      <c r="A25" s="23" t="s">
        <v>51</v>
      </c>
      <c r="B25" s="30" t="s">
        <v>42</v>
      </c>
      <c r="BC25" s="31"/>
      <c r="BD25" s="31"/>
      <c r="BE25" s="31"/>
      <c r="BF25" s="31"/>
      <c r="BG25" s="31"/>
      <c r="BH25" s="31"/>
    </row>
    <row r="26" customFormat="false" ht="15" hidden="false" customHeight="false" outlineLevel="0" collapsed="false">
      <c r="A26" s="22" t="s">
        <v>53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</row>
    <row r="27" customFormat="false" ht="15" hidden="false" customHeight="false" outlineLevel="0" collapsed="false">
      <c r="A27" s="23" t="s">
        <v>54</v>
      </c>
      <c r="B27" s="24" t="s">
        <v>16</v>
      </c>
      <c r="O27" s="25"/>
      <c r="P27" s="25"/>
      <c r="Q27" s="25"/>
      <c r="R27" s="25"/>
      <c r="S27" s="25"/>
      <c r="T27" s="25"/>
      <c r="U27" s="25"/>
      <c r="V27" s="25"/>
    </row>
    <row r="28" customFormat="false" ht="15" hidden="false" customHeight="false" outlineLevel="0" collapsed="false">
      <c r="A28" s="23" t="s">
        <v>56</v>
      </c>
      <c r="B28" s="28" t="s">
        <v>26</v>
      </c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customFormat="false" ht="15" hidden="false" customHeight="false" outlineLevel="0" collapsed="false">
      <c r="A29" s="23" t="s">
        <v>58</v>
      </c>
      <c r="B29" s="30" t="s">
        <v>42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customFormat="false" ht="15" hidden="false" customHeight="false" outlineLevel="0" collapsed="false">
      <c r="A30" s="23" t="s">
        <v>60</v>
      </c>
      <c r="B30" s="28" t="s">
        <v>26</v>
      </c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</row>
    <row r="31" customFormat="false" ht="15" hidden="false" customHeight="false" outlineLevel="0" collapsed="false">
      <c r="A31" s="23" t="s">
        <v>62</v>
      </c>
      <c r="B31" s="32" t="s">
        <v>63</v>
      </c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customFormat="false" ht="15" hidden="false" customHeight="false" outlineLevel="0" collapsed="false">
      <c r="A32" s="23" t="s">
        <v>66</v>
      </c>
      <c r="B32" s="28" t="s">
        <v>26</v>
      </c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</row>
    <row r="33" customFormat="false" ht="15" hidden="false" customHeight="false" outlineLevel="0" collapsed="false">
      <c r="A33" s="23" t="s">
        <v>68</v>
      </c>
      <c r="B33" s="24" t="s">
        <v>16</v>
      </c>
      <c r="BB33" s="25"/>
      <c r="BC33" s="25"/>
      <c r="BD33" s="25"/>
      <c r="BE33" s="25"/>
      <c r="BF33" s="25"/>
      <c r="BG33" s="25"/>
      <c r="BH33" s="25"/>
      <c r="BI33" s="25"/>
      <c r="BJ33" s="25"/>
    </row>
    <row r="34" customFormat="false" ht="15" hidden="false" customHeight="false" outlineLevel="0" collapsed="false">
      <c r="A34" s="22" t="s">
        <v>70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</row>
    <row r="35" customFormat="false" ht="15" hidden="false" customHeight="false" outlineLevel="0" collapsed="false">
      <c r="A35" s="23" t="s">
        <v>71</v>
      </c>
      <c r="B35" s="30" t="s">
        <v>42</v>
      </c>
      <c r="BH35" s="31"/>
      <c r="BI35" s="31"/>
      <c r="BJ35" s="31"/>
      <c r="BK35" s="31"/>
      <c r="BL35" s="31"/>
      <c r="BM35" s="31"/>
      <c r="BN35" s="31"/>
    </row>
    <row r="36" customFormat="false" ht="15" hidden="false" customHeight="false" outlineLevel="0" collapsed="false">
      <c r="A36" s="23" t="s">
        <v>73</v>
      </c>
      <c r="B36" s="32" t="s">
        <v>63</v>
      </c>
      <c r="BJ36" s="33"/>
      <c r="BK36" s="33"/>
      <c r="BL36" s="33"/>
      <c r="BM36" s="33"/>
      <c r="BN36" s="33"/>
      <c r="BO36" s="33"/>
      <c r="BP36" s="33"/>
      <c r="BQ36" s="33"/>
    </row>
    <row r="37" customFormat="false" ht="15" hidden="false" customHeight="false" outlineLevel="0" collapsed="false">
      <c r="A37" s="23" t="s">
        <v>74</v>
      </c>
      <c r="B37" s="32" t="s">
        <v>63</v>
      </c>
      <c r="BP37" s="33"/>
      <c r="BQ37" s="33"/>
      <c r="BR37" s="33"/>
      <c r="BS37" s="33"/>
      <c r="BT37" s="33"/>
    </row>
    <row r="38" customFormat="false" ht="15" hidden="false" customHeight="false" outlineLevel="0" collapsed="false">
      <c r="A38" s="23" t="s">
        <v>75</v>
      </c>
      <c r="B38" s="32" t="s">
        <v>63</v>
      </c>
      <c r="BS38" s="33"/>
      <c r="BT38" s="33"/>
      <c r="BU38" s="33"/>
      <c r="BV38" s="33"/>
      <c r="BW38" s="33"/>
    </row>
    <row r="39" customFormat="false" ht="15" hidden="false" customHeight="false" outlineLevel="0" collapsed="false">
      <c r="A39" s="23" t="s">
        <v>76</v>
      </c>
      <c r="B39" s="28" t="s">
        <v>26</v>
      </c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</row>
    <row r="40" customFormat="false" ht="15" hidden="false" customHeight="false" outlineLevel="0" collapsed="false">
      <c r="A40" s="23" t="s">
        <v>77</v>
      </c>
      <c r="B40" s="34" t="s">
        <v>78</v>
      </c>
      <c r="BY40" s="35" t="s">
        <v>100</v>
      </c>
    </row>
    <row r="42" customFormat="false" ht="15" hidden="false" customHeight="false" outlineLevel="0" collapsed="false">
      <c r="A42" s="36" t="s">
        <v>101</v>
      </c>
    </row>
    <row r="43" customFormat="false" ht="15" hidden="false" customHeight="false" outlineLevel="0" collapsed="false">
      <c r="A43" s="37" t="s">
        <v>102</v>
      </c>
      <c r="B43" s="25"/>
    </row>
    <row r="44" customFormat="false" ht="15" hidden="false" customHeight="false" outlineLevel="0" collapsed="false">
      <c r="A44" s="37" t="s">
        <v>103</v>
      </c>
      <c r="B44" s="27"/>
    </row>
    <row r="45" customFormat="false" ht="15" hidden="false" customHeight="false" outlineLevel="0" collapsed="false">
      <c r="A45" s="37" t="s">
        <v>104</v>
      </c>
      <c r="B45" s="31"/>
    </row>
    <row r="46" customFormat="false" ht="15" hidden="false" customHeight="false" outlineLevel="0" collapsed="false">
      <c r="A46" s="37" t="s">
        <v>105</v>
      </c>
      <c r="B46" s="29"/>
    </row>
    <row r="47" customFormat="false" ht="15" hidden="false" customHeight="false" outlineLevel="0" collapsed="false">
      <c r="A47" s="37" t="s">
        <v>106</v>
      </c>
      <c r="B47" s="33"/>
    </row>
    <row r="48" customFormat="false" ht="15" hidden="false" customHeight="false" outlineLevel="0" collapsed="false">
      <c r="A48" s="37" t="s">
        <v>107</v>
      </c>
      <c r="B48" s="38"/>
    </row>
  </sheetData>
  <mergeCells count="6">
    <mergeCell ref="A1:BY1"/>
    <mergeCell ref="A4:BY4"/>
    <mergeCell ref="A9:BY9"/>
    <mergeCell ref="A16:BY16"/>
    <mergeCell ref="A26:BY26"/>
    <mergeCell ref="A34:BY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2026-06-23T13:42:11Z</dcterms:created>
  <dc:creator>openpyxl</dc:creator>
  <dc:description/>
  <dc:language>en-US</dc:language>
  <cp:lastModifiedBy/>
  <dcterms:modified xsi:type="dcterms:W3CDTF">2026-06-23T13:42:11Z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